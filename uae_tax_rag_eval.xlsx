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Set" sheetId="1" state="visible" r:id="rId1"/>
    <sheet xmlns:r="http://schemas.openxmlformats.org/officeDocument/2006/relationships" name="Scorecard"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sz val="13"/>
    </font>
    <font>
      <name val="Arial"/>
      <charset val="1"/>
      <family val="0"/>
      <i val="1"/>
      <sz val="9"/>
    </font>
  </fonts>
  <fills count="8">
    <fill>
      <patternFill/>
    </fill>
    <fill>
      <patternFill patternType="gray125"/>
    </fill>
    <fill>
      <patternFill patternType="solid">
        <fgColor rgb="FF1F4E78"/>
        <bgColor rgb="FF003366"/>
      </patternFill>
    </fill>
    <fill>
      <patternFill patternType="solid">
        <fgColor rgb="FFD9E1F2"/>
        <bgColor rgb="FFE2EFDA"/>
      </patternFill>
    </fill>
    <fill>
      <patternFill patternType="solid">
        <fgColor rgb="FFFCE4D6"/>
        <bgColor rgb="FFFFF2CC"/>
      </patternFill>
    </fill>
    <fill>
      <patternFill patternType="solid">
        <fgColor rgb="FFE2EFDA"/>
        <bgColor rgb="FFD9E1F2"/>
      </patternFill>
    </fill>
    <fill>
      <patternFill patternType="solid">
        <fgColor rgb="FFFFF2CC"/>
        <bgColor rgb="FFFCE4D6"/>
      </patternFill>
    </fill>
    <fill>
      <patternFill patternType="solid">
        <fgColor rgb="FFF8CBAD"/>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top"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bottom"/>
    </xf>
    <xf numFmtId="0" fontId="5" fillId="0" borderId="0" applyAlignment="1" pivotButton="0" quotePrefix="0" xfId="0">
      <alignment horizontal="center" vertical="center"/>
    </xf>
    <xf numFmtId="164" fontId="5" fillId="0" borderId="0" applyAlignment="1" pivotButton="0" quotePrefix="0" xfId="0">
      <alignment horizontal="center" vertical="center"/>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top"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bottom"/>
    </xf>
    <xf numFmtId="0" fontId="5" fillId="0" borderId="0" applyAlignment="1" pivotButton="0" quotePrefix="0" xfId="0">
      <alignment horizontal="center" vertical="center"/>
    </xf>
    <xf numFmtId="164" fontId="5" fillId="0" borderId="0" applyAlignment="1" pivotButton="0" quotePrefix="0" xfId="0">
      <alignment horizontal="center" vertical="center"/>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2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42" customWidth="1" style="15" min="2" max="2"/>
    <col width="17" customWidth="1" style="15" min="3" max="3"/>
    <col width="30" customWidth="1" style="15" min="4" max="4"/>
    <col width="34" customWidth="1" style="15" min="5" max="5"/>
    <col width="11" customWidth="1" style="15" min="6" max="6"/>
    <col width="22" customWidth="1" style="15" min="7" max="7"/>
    <col width="11" customWidth="1" style="15" min="8" max="8"/>
    <col width="22" customWidth="1" style="15" min="9" max="9"/>
  </cols>
  <sheetData>
    <row r="1" ht="30" customHeight="1" s="16">
      <c r="A1" s="17" t="inlineStr">
        <is>
          <t>#</t>
        </is>
      </c>
      <c r="B1" s="17" t="inlineStr">
        <is>
          <t>Question (how a real user would ask)</t>
        </is>
      </c>
      <c r="C1" s="17" t="inlineStr">
        <is>
          <t>Category</t>
        </is>
      </c>
      <c r="D1" s="17" t="inlineStr">
        <is>
          <t>What it tests</t>
        </is>
      </c>
      <c r="E1" s="17" t="inlineStr">
        <is>
          <t>Answer key (fill from CTGGCT1)</t>
        </is>
      </c>
      <c r="F1" s="17" t="inlineStr">
        <is>
          <t>Baseline pass? (1/0)</t>
        </is>
      </c>
      <c r="G1" s="17" t="inlineStr">
        <is>
          <t>Baseline notes</t>
        </is>
      </c>
      <c r="H1" s="17" t="inlineStr">
        <is>
          <t>Improved pass? (1/0)</t>
        </is>
      </c>
      <c r="I1" s="17" t="inlineStr">
        <is>
          <t>Improved notes</t>
        </is>
      </c>
    </row>
    <row r="2" ht="15" customHeight="1" s="16">
      <c r="A2" s="18" t="n">
        <v>1</v>
      </c>
      <c r="B2" s="19" t="inlineStr">
        <is>
          <t>What's the corporate tax rate in the UAE?</t>
        </is>
      </c>
      <c r="C2" s="20" t="inlineStr">
        <is>
          <t>Simple lookup</t>
        </is>
      </c>
      <c r="D2" s="19" t="inlineStr">
        <is>
          <t>Basic single-fact retrieval</t>
        </is>
      </c>
      <c r="E2" s="19" t="inlineStr">
        <is>
          <t>The corporate tax rate in the UAE is 0% on the portion of taxable income not exceeding AED 375,000, and 9% on the portion exceeding AED 375,000.</t>
        </is>
      </c>
      <c r="F2" s="18" t="n"/>
      <c r="G2" s="19" t="n"/>
      <c r="H2" s="18" t="n"/>
      <c r="I2" s="19" t="n"/>
    </row>
    <row r="3" ht="15" customHeight="1" s="16">
      <c r="A3" s="18" t="n">
        <v>2</v>
      </c>
      <c r="B3" s="19" t="inlineStr">
        <is>
          <t>When did corporate tax actually start in the UAE?</t>
        </is>
      </c>
      <c r="C3" s="20" t="inlineStr">
        <is>
          <t>Simple lookup</t>
        </is>
      </c>
      <c r="D3" s="19" t="inlineStr">
        <is>
          <t>Basic date retrieval</t>
        </is>
      </c>
      <c r="E3" s="19" t="inlineStr">
        <is>
          <t>Corporate tax in the UAE officially started with the signing of Federal Decree-Law No. 47 of 2022 on 3 October 2022, and the provisions apply to Tax Periods commencing on or after 1 June 2023.</t>
        </is>
      </c>
      <c r="F3" s="18" t="n"/>
      <c r="G3" s="19" t="n"/>
      <c r="H3" s="18" t="n"/>
      <c r="I3" s="19" t="n"/>
    </row>
    <row r="4" ht="23.85" customHeight="1" s="16">
      <c r="A4" s="18" t="n">
        <v>3</v>
      </c>
      <c r="B4" s="19" t="inlineStr">
        <is>
          <t>How much profit can I make before I owe any corporate tax?</t>
        </is>
      </c>
      <c r="C4" s="20" t="inlineStr">
        <is>
          <t>Simple lookup</t>
        </is>
      </c>
      <c r="D4" s="19" t="inlineStr">
        <is>
          <t>Retrieve the AED 375,000 threshold</t>
        </is>
      </c>
      <c r="E4" s="19" t="inlineStr">
        <is>
          <t>You can make a profit of up to AED 375,000 before owing any corporate tax, as the corporate tax rate is 0% on the portion of taxable income not exceeding this amount.</t>
        </is>
      </c>
      <c r="F4" s="18" t="n"/>
      <c r="G4" s="19" t="n"/>
      <c r="H4" s="18" t="n"/>
      <c r="I4" s="19" t="n"/>
    </row>
    <row r="5" ht="23.85" customHeight="1" s="16">
      <c r="A5" s="18" t="n">
        <v>4</v>
      </c>
      <c r="B5" s="19" t="inlineStr">
        <is>
          <t>After my financial year ends, how long do I have to file my return?</t>
        </is>
      </c>
      <c r="C5" s="20" t="inlineStr">
        <is>
          <t>Simple lookup</t>
        </is>
      </c>
      <c r="D5" s="19" t="inlineStr">
        <is>
          <t>Retrieve the filing deadline</t>
        </is>
      </c>
      <c r="E5" s="19" t="inlineStr">
        <is>
          <t>You have nine months from the end of your financial year to file your return.</t>
        </is>
      </c>
      <c r="F5" s="18" t="n"/>
      <c r="G5" s="19" t="n"/>
      <c r="H5" s="18" t="n"/>
      <c r="I5" s="19" t="n"/>
    </row>
    <row r="6" ht="23.85" customHeight="1" s="16">
      <c r="A6" s="18" t="n">
        <v>5</v>
      </c>
      <c r="B6" s="19" t="inlineStr">
        <is>
          <t>My free-zone company made AED 2 million profit — do I pay 0%?</t>
        </is>
      </c>
      <c r="C6" s="21" t="inlineStr">
        <is>
          <t>Conditional</t>
        </is>
      </c>
      <c r="D6" s="19" t="inlineStr">
        <is>
          <t>Must surface conditions, not just a rate</t>
        </is>
      </c>
      <c r="E6" s="19" t="inlineStr">
        <is>
          <t>If your free-zone company made AED 2 million profit, you may pay 9% on the portion exceeding AED 375,000, as the 0% rate applies only to Qualifying Income and not to all profits. Therefore, you will not pay 0% on the entire profit.</t>
        </is>
      </c>
      <c r="F6" s="18" t="n"/>
      <c r="G6" s="19" t="n"/>
      <c r="H6" s="18" t="n"/>
      <c r="I6" s="19" t="n"/>
    </row>
    <row r="7" ht="23.85" customHeight="1" s="16">
      <c r="A7" s="18" t="n">
        <v>6</v>
      </c>
      <c r="B7" s="19" t="inlineStr">
        <is>
          <t>My business is tiny with very low revenue. Is there relief so I pay nothing?</t>
        </is>
      </c>
      <c r="C7" s="21" t="inlineStr">
        <is>
          <t>Conditional</t>
        </is>
      </c>
      <c r="D7" s="19" t="inlineStr">
        <is>
          <t>Small Business Relief eligibility conditions</t>
        </is>
      </c>
      <c r="E7" s="19" t="inlineStr">
        <is>
          <t>Yes, there is relief for small businesses. If your business has revenue equal to or below AED 3,000,000 in a relevant Tax Period, you can elect to be treated as having no Taxable Income and will not need to calculate or pay Corporate Tax for that period.</t>
        </is>
      </c>
      <c r="F7" s="18" t="n"/>
      <c r="G7" s="19" t="n"/>
      <c r="H7" s="18" t="n"/>
      <c r="I7" s="19" t="n"/>
    </row>
    <row r="8" ht="23.85" customHeight="1" s="16">
      <c r="A8" s="18" t="n">
        <v>7</v>
      </c>
      <c r="B8" s="19" t="inlineStr">
        <is>
          <t>My profit is below the threshold — do I still have to register at all?</t>
        </is>
      </c>
      <c r="C8" s="21" t="inlineStr">
        <is>
          <t>Conditional</t>
        </is>
      </c>
      <c r="D8" s="19" t="inlineStr">
        <is>
          <t>Separates 'register' from 'pay'</t>
        </is>
      </c>
      <c r="E8" s="19" t="inlineStr">
        <is>
          <t>Yes, you still have to register for Corporate Tax purposes even if your profit is below the threshold. All Taxable Persons are required to register for Corporate Tax with the FTA.</t>
        </is>
      </c>
      <c r="F8" s="18" t="n"/>
      <c r="G8" s="19" t="n"/>
      <c r="H8" s="18" t="n"/>
      <c r="I8" s="19" t="n"/>
    </row>
    <row r="9" ht="23.85" customHeight="1" s="16">
      <c r="A9" s="18" t="n">
        <v>8</v>
      </c>
      <c r="B9" s="19" t="inlineStr">
        <is>
          <t>I personally earn rent from a flat I own. Is that taxed?</t>
        </is>
      </c>
      <c r="C9" s="21" t="inlineStr">
        <is>
          <t>Conditional</t>
        </is>
      </c>
      <c r="D9" s="19" t="inlineStr">
        <is>
          <t>Natural-person / personal investment carve-out</t>
        </is>
      </c>
      <c r="E9" s="19" t="inlineStr">
        <is>
          <t>Income from Personal Investments, such as rent earned from a flat owned personally by a natural person, is not subject to Corporate Tax under the UAE Corporate Tax law. This falls under Personal Investment Activity.</t>
        </is>
      </c>
      <c r="F9" s="18" t="n"/>
      <c r="G9" s="19" t="n"/>
      <c r="H9" s="18" t="n"/>
      <c r="I9" s="19" t="n"/>
    </row>
    <row r="10" ht="23.85" customHeight="1" s="16">
      <c r="A10" s="18" t="n">
        <v>9</v>
      </c>
      <c r="B10" s="19" t="inlineStr">
        <is>
          <t>As a free-zone company, what exactly counts as 'qualifying income' for the 0%?</t>
        </is>
      </c>
      <c r="C10" s="22" t="inlineStr">
        <is>
          <t>Multi-hop</t>
        </is>
      </c>
      <c r="D10" s="19" t="inlineStr">
        <is>
          <t>One rule points to definitions elsewhere</t>
        </is>
      </c>
      <c r="E10" s="19" t="inlineStr">
        <is>
          <t>Qualifying income for a free-zone company to benefit from the 0% corporate tax rate includes income derived from transactions with other free zone persons (excluding income from excluded activities), transactions with non-free zone persons only in respect of qualifying activities that are not excluded activities, and any other income where the de minimis requirement is satisfied.</t>
        </is>
      </c>
      <c r="F10" s="18" t="n"/>
      <c r="G10" s="19" t="n"/>
      <c r="H10" s="18" t="n"/>
      <c r="I10" s="19" t="n"/>
    </row>
    <row r="11" ht="23.85" customHeight="1" s="16">
      <c r="A11" s="18" t="n">
        <v>10</v>
      </c>
      <c r="B11" s="19" t="inlineStr">
        <is>
          <t>Can my group of companies be taxed as one, and what must we meet?</t>
        </is>
      </c>
      <c r="C11" s="22" t="inlineStr">
        <is>
          <t>Multi-hop</t>
        </is>
      </c>
      <c r="D11" s="19" t="inlineStr">
        <is>
          <t>Tax-group conditions span sections</t>
        </is>
      </c>
      <c r="E11" s="19" t="inlineStr">
        <is>
          <t>Yes, your group of companies can be taxed as one under a Tax Group regime if you meet the following conditions: the Parent Company must directly or indirectly own at least 95% of the share capital and voting rights of each Subsidiary, all members must be Resident Persons or Non-Resident Persons with a Permanent Establishment in the UAE, none can be an Exempt Person or Qualifying Free Zone Person, and they must have the same Financial Year and accounting standards.</t>
        </is>
      </c>
      <c r="F11" s="18" t="n"/>
      <c r="G11" s="19" t="n"/>
      <c r="H11" s="18" t="n"/>
      <c r="I11" s="19" t="n"/>
    </row>
    <row r="12" ht="23.85" customHeight="1" s="16">
      <c r="A12" s="18" t="n">
        <v>11</v>
      </c>
      <c r="B12" s="19" t="inlineStr">
        <is>
          <t>My business made a loss last year — can I use it to cut this year's tax?</t>
        </is>
      </c>
      <c r="C12" s="22" t="inlineStr">
        <is>
          <t>Multi-hop</t>
        </is>
      </c>
      <c r="D12" s="19" t="inlineStr">
        <is>
          <t>Tax-loss rules + carry-forward conditions</t>
        </is>
      </c>
      <c r="E12" s="19" t="inlineStr">
        <is>
          <t>Yes, you can carry forward tax losses to offset against future taxable income, provided the losses were incurred after the Corporate Tax regime commenced on June 1, 2023, and you meet the necessary conditions.</t>
        </is>
      </c>
      <c r="F12" s="18" t="n"/>
      <c r="G12" s="19" t="n"/>
      <c r="H12" s="18" t="n"/>
      <c r="I12" s="19" t="n"/>
    </row>
    <row r="13" ht="23.85" customHeight="1" s="16">
      <c r="A13" s="18" t="n">
        <v>12</v>
      </c>
      <c r="B13" s="19" t="inlineStr">
        <is>
          <t>What records must I keep, and for how long, to stay compliant?</t>
        </is>
      </c>
      <c r="C13" s="22" t="inlineStr">
        <is>
          <t>Multi-hop</t>
        </is>
      </c>
      <c r="D13" s="19" t="inlineStr">
        <is>
          <t>Record-keeping ties to multiple obligations</t>
        </is>
      </c>
      <c r="E13" s="19" t="inlineStr">
        <is>
          <t>You must keep records that support your Corporate Tax filings for seven years following the end of the Tax Period to which they relate. This includes all relevant documents, accounts, and information that enable your status as a Taxable Person or Exempt Person to be readily ascertained by the FTA.</t>
        </is>
      </c>
      <c r="F13" s="18" t="n"/>
      <c r="G13" s="19" t="n"/>
      <c r="H13" s="18" t="n"/>
      <c r="I13" s="19" t="n"/>
    </row>
    <row r="14" ht="23.85" customHeight="1" s="16">
      <c r="A14" s="18" t="n">
        <v>13</v>
      </c>
      <c r="B14" s="19" t="inlineStr">
        <is>
          <t>I freelance from home in Dubai with no trade licence — do I owe corporate tax?</t>
        </is>
      </c>
      <c r="C14" s="23" t="inlineStr">
        <is>
          <t>Describe-your-business</t>
        </is>
      </c>
      <c r="D14" s="19" t="inlineStr">
        <is>
          <t>Infers obligations from a described situation</t>
        </is>
      </c>
      <c r="E14" s="19" t="inlineStr">
        <is>
          <t>A natural person freelancing from home in Dubai is conducting a Business Activity and is a Resident Person for Corporate Tax purposes. However, Corporate Tax only applies if their annual Turnover from that Business Activity exceeds AED 1,000,000. Below that threshold, no Corporate Tax is due.</t>
        </is>
      </c>
      <c r="F14" s="18" t="n"/>
      <c r="G14" s="19" t="n"/>
      <c r="H14" s="18" t="n"/>
      <c r="I14" s="19" t="n"/>
    </row>
    <row r="15" ht="23.85" customHeight="1" s="16">
      <c r="A15" s="18" t="n">
        <v>14</v>
      </c>
      <c r="B15" s="19" t="inlineStr">
        <is>
          <t>I run a free-zone online store selling to mainland UAE customers — how am I taxed?</t>
        </is>
      </c>
      <c r="C15" s="23" t="inlineStr">
        <is>
          <t>Describe-your-business</t>
        </is>
      </c>
      <c r="D15" s="19" t="inlineStr">
        <is>
          <t>Free-zone vs mainland income interaction</t>
        </is>
      </c>
      <c r="E15" s="19" t="inlineStr">
        <is>
          <t>As a free-zone online store selling to mainland UAE customers, you will be subject to Corporate Tax at a rate of 0% on Qualifying Income, provided you meet the conditions to be classified as a Qualifying Free Zone Person. Any Taxable Income that is not considered Qualifying Income will be taxed at the general rate of 9%.</t>
        </is>
      </c>
      <c r="F15" s="18" t="n"/>
      <c r="G15" s="19" t="n"/>
      <c r="H15" s="18" t="n"/>
      <c r="I15" s="19" t="n"/>
    </row>
    <row r="16" ht="23.85" customHeight="1" s="16">
      <c r="A16" s="18" t="n">
        <v>15</v>
      </c>
      <c r="B16" s="19" t="inlineStr">
        <is>
          <t>We're a 3-person startup with no profit yet. Any corporate tax obligations?</t>
        </is>
      </c>
      <c r="C16" s="23" t="inlineStr">
        <is>
          <t>Describe-your-business</t>
        </is>
      </c>
      <c r="D16" s="19" t="inlineStr">
        <is>
          <t>Registration vs liability when pre-profit</t>
        </is>
      </c>
      <c r="E16" s="19" t="inlineStr">
        <is>
          <t>If your startup has no profit and your turnover is below AED 1,000,000, you have no corporate tax obligations. However, if your turnover exceeds AED 1,000,000, you would be subject to corporate tax.</t>
        </is>
      </c>
      <c r="F16" s="18" t="n"/>
      <c r="G16" s="19" t="n"/>
      <c r="H16" s="18" t="n"/>
      <c r="I16" s="19" t="n"/>
    </row>
    <row r="17" ht="23.85" customHeight="1" s="16">
      <c r="A17" s="18" t="n">
        <v>16</v>
      </c>
      <c r="B17" s="19" t="inlineStr">
        <is>
          <t>My mainland trading company made AED 500,000 profit — roughly what do I owe?</t>
        </is>
      </c>
      <c r="C17" s="23" t="inlineStr">
        <is>
          <t>Describe-your-business</t>
        </is>
      </c>
      <c r="D17" s="19" t="inlineStr">
        <is>
          <t>Apply 0% band + 9% to a real number</t>
        </is>
      </c>
      <c r="E17" s="19" t="inlineStr">
        <is>
          <t>You owe AED 11,250 in corporate tax. This is calculated as follows: the first AED 375,000 of profit is taxed at 0%, and the remaining AED 125,000 (AED 500,000 - AED 375,000) is taxed at 9%, resulting in AED 11,250 (AED 125,000 x 9%).</t>
        </is>
      </c>
      <c r="F17" s="18" t="n"/>
      <c r="G17" s="19" t="n"/>
      <c r="H17" s="18" t="n"/>
      <c r="I17" s="19" t="n"/>
    </row>
    <row r="18" ht="23.85" customHeight="1" s="16">
      <c r="A18" s="18" t="n">
        <v>17</v>
      </c>
      <c r="B18" s="19" t="inlineStr">
        <is>
          <t>How much VAT do I charge my customers?</t>
        </is>
      </c>
      <c r="C18" s="24" t="inlineStr">
        <is>
          <t>Trap / out-of-scope</t>
        </is>
      </c>
      <c r="D18" s="19" t="inlineStr">
        <is>
          <t>VAT ≠ corporate tax; should decline / redirect</t>
        </is>
      </c>
      <c r="E18" s="19" t="inlineStr">
        <is>
          <t>NOT COVERED</t>
        </is>
      </c>
      <c r="F18" s="18" t="n"/>
      <c r="G18" s="19" t="n"/>
      <c r="H18" s="18" t="n"/>
      <c r="I18" s="19" t="n"/>
    </row>
    <row r="19" ht="23.85" customHeight="1" s="16">
      <c r="A19" s="18" t="n">
        <v>18</v>
      </c>
      <c r="B19" s="19" t="inlineStr">
        <is>
          <t>What's the corporate tax rate in Saudi Arabia?</t>
        </is>
      </c>
      <c r="C19" s="24" t="inlineStr">
        <is>
          <t>Trap / out-of-scope</t>
        </is>
      </c>
      <c r="D19" s="19" t="inlineStr">
        <is>
          <t>Different country; not in this document</t>
        </is>
      </c>
      <c r="E19" s="19" t="inlineStr">
        <is>
          <t>NOT COVERED</t>
        </is>
      </c>
      <c r="F19" s="18" t="n"/>
      <c r="G19" s="19" t="n"/>
      <c r="H19" s="18" t="n"/>
      <c r="I19" s="19" t="n"/>
    </row>
    <row r="20" ht="23.85" customHeight="1" s="16">
      <c r="A20" s="18" t="n">
        <v>19</v>
      </c>
      <c r="B20" s="19" t="inlineStr">
        <is>
          <t>How do I lower the income tax taken from my salary in the UAE?</t>
        </is>
      </c>
      <c r="C20" s="24" t="inlineStr">
        <is>
          <t>Trap / out-of-scope</t>
        </is>
      </c>
      <c r="D20" s="19" t="inlineStr">
        <is>
          <t>No personal salary income tax exists — must not invent</t>
        </is>
      </c>
      <c r="E20" s="19" t="inlineStr">
        <is>
          <t>NOT COVERED</t>
        </is>
      </c>
      <c r="F20" s="18" t="n"/>
      <c r="G20" s="19" t="n"/>
      <c r="H20" s="18" t="n"/>
      <c r="I20" s="19" t="n"/>
    </row>
    <row r="21" ht="23.85" customHeight="1" s="16">
      <c r="A21" s="18" t="n">
        <v>20</v>
      </c>
      <c r="B21" s="19" t="inlineStr">
        <is>
          <t>Exactly what penalty in AED will I get for filing 47 days late?</t>
        </is>
      </c>
      <c r="C21" s="24" t="inlineStr">
        <is>
          <t>Trap / out-of-scope</t>
        </is>
      </c>
      <c r="D21" s="19" t="inlineStr">
        <is>
          <t>Tests whether it fabricates a precise figure</t>
        </is>
      </c>
      <c r="E21" s="19" t="inlineStr">
        <is>
          <t>The penalty for submitting a Corporate Tax Return late is AED 500 for each month of delay, or part thereof, for the first twelve months; and AED 1,000 for each month of delay, or part thereof, from the thirteenth month onwards.</t>
        </is>
      </c>
      <c r="F21" s="18" t="n"/>
      <c r="G21" s="19" t="n"/>
      <c r="H21" s="18" t="n"/>
      <c r="I21"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5" min="1" max="1"/>
    <col width="20" customWidth="1" style="15" min="2" max="2"/>
    <col width="16" customWidth="1" style="15" min="3" max="3"/>
  </cols>
  <sheetData>
    <row r="1" ht="16.15" customHeight="1" s="16">
      <c r="A1" s="25" t="inlineStr">
        <is>
          <t>UAE Corporate Tax RAG — Eval Scorecard</t>
        </is>
      </c>
    </row>
    <row r="3" ht="15" customHeight="1" s="16">
      <c r="A3" s="26" t="inlineStr">
        <is>
          <t>Metric</t>
        </is>
      </c>
      <c r="B3" s="26" t="inlineStr">
        <is>
          <t>Baseline (naive RAG)</t>
        </is>
      </c>
      <c r="C3" s="26" t="inlineStr">
        <is>
          <t>Improved RAG</t>
        </is>
      </c>
    </row>
    <row r="4" ht="15" customHeight="1" s="16">
      <c r="A4" s="27" t="inlineStr">
        <is>
          <t>Total score (out of 20)</t>
        </is>
      </c>
      <c r="B4" s="28">
        <f>SUM('Test Set'!F2:F21)</f>
        <v/>
      </c>
      <c r="C4" s="28">
        <f>SUM('Test Set'!H2:H21)</f>
        <v/>
      </c>
    </row>
    <row r="5" ht="15" customHeight="1" s="16">
      <c r="A5" s="27" t="inlineStr">
        <is>
          <t>Accuracy %</t>
        </is>
      </c>
      <c r="B5" s="29">
        <f>B4/20</f>
        <v/>
      </c>
      <c r="C5" s="29">
        <f>C4/20</f>
        <v/>
      </c>
    </row>
    <row r="6" ht="15" customHeight="1" s="16">
      <c r="A6" s="27" t="inlineStr">
        <is>
          <t>Simple lookup (of 4)</t>
        </is>
      </c>
      <c r="B6" s="28">
        <f>SUMIFS('Test Set'!F2:F21,'Test Set'!C2:C21,"Simple lookup")</f>
        <v/>
      </c>
      <c r="C6" s="28">
        <f>SUMIFS('Test Set'!H2:H21,'Test Set'!C2:C21,"Simple lookup")</f>
        <v/>
      </c>
    </row>
    <row r="7" ht="15" customHeight="1" s="16">
      <c r="A7" s="27" t="inlineStr">
        <is>
          <t>Conditional (of 4)</t>
        </is>
      </c>
      <c r="B7" s="28">
        <f>SUMIFS('Test Set'!F2:F21,'Test Set'!C2:C21,"Conditional")</f>
        <v/>
      </c>
      <c r="C7" s="28">
        <f>SUMIFS('Test Set'!H2:H21,'Test Set'!C2:C21,"Conditional")</f>
        <v/>
      </c>
    </row>
    <row r="8" ht="15" customHeight="1" s="16">
      <c r="A8" s="27" t="inlineStr">
        <is>
          <t>Multi-hop (of 4)</t>
        </is>
      </c>
      <c r="B8" s="28">
        <f>SUMIFS('Test Set'!F2:F21,'Test Set'!C2:C21,"Multi-hop")</f>
        <v/>
      </c>
      <c r="C8" s="28">
        <f>SUMIFS('Test Set'!H2:H21,'Test Set'!C2:C21,"Multi-hop")</f>
        <v/>
      </c>
    </row>
    <row r="9" ht="15" customHeight="1" s="16">
      <c r="A9" s="27" t="inlineStr">
        <is>
          <t>Describe-your-business (of 4)</t>
        </is>
      </c>
      <c r="B9" s="28">
        <f>SUMIFS('Test Set'!F2:F21,'Test Set'!C2:C21,"Describe-your-business")</f>
        <v/>
      </c>
      <c r="C9" s="28">
        <f>SUMIFS('Test Set'!H2:H21,'Test Set'!C2:C21,"Describe-your-business")</f>
        <v/>
      </c>
    </row>
    <row r="10" ht="15" customHeight="1" s="16">
      <c r="A10" s="27" t="inlineStr">
        <is>
          <t>Trap / out-of-scope (of 4)</t>
        </is>
      </c>
      <c r="B10" s="28">
        <f>SUMIFS('Test Set'!F2:F21,'Test Set'!C2:C21,"Trap / out-of-scope")</f>
        <v/>
      </c>
      <c r="C10" s="28">
        <f>SUMIFS('Test Set'!H2:H21,'Test Set'!C2:C21,"Trap / out-of-scope")</f>
        <v/>
      </c>
    </row>
    <row r="12" ht="15" customHeight="1" s="16">
      <c r="A12" s="30" t="inlineStr">
        <is>
          <t>How to use: fill the Answer key column from CTGGCT1 BEFORE running anything. Then run each question through your bot, mark 1 (correct) or 0 (wrong/made-up) in the pass columns. The trap rows score 1 only if the bot correctly says it doesn't know / is out of scope.</t>
        </is>
      </c>
    </row>
    <row r="13" ht="15" customHeight="1" s="16"/>
    <row r="14" ht="15" customHeight="1" s="16"/>
    <row r="15" ht="15" customHeight="1" s="16"/>
  </sheetData>
  <mergeCells count="2">
    <mergeCell ref="A1:D1"/>
    <mergeCell ref="A12:C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2026-06-06T06:37:47Z</dcterms:created>
  <dcterms:modified xmlns:dcterms="http://purl.org/dc/terms/" xmlns:xsi="http://www.w3.org/2001/XMLSchema-instance" xsi:type="dcterms:W3CDTF">2026-06-17T09:03:46Z</dcterms:modified>
  <cp:revision>0</cp:revision>
</cp:coreProperties>
</file>